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Cover" sheetId="1" state="visible" r:id="rId3"/>
    <sheet name="01_Standards" sheetId="2" state="visible" r:id="rId4"/>
    <sheet name="02_Actuals" sheetId="3" state="visible" r:id="rId5"/>
    <sheet name="03_Variances" sheetId="4" state="visible" r:id="rId6"/>
    <sheet name="04_By_SKU" sheetId="5" state="visible" r:id="rId7"/>
    <sheet name="05_Bridge" sheetId="6" state="visible" r:id="rId8"/>
    <sheet name="06_Dictionary"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<sst xmlns="http://schemas.openxmlformats.org/spreadsheetml/2006/main" count="127" uniqueCount="120">
  <si>
    <t xml:space="preserve">Northline Components</t>
  </si>
  <si>
    <t xml:space="preserve">Standard-cost variance workbook  •  July 2026  •  fictional plant</t>
  </si>
  <si>
    <t xml:space="preserve">github.com/saisiri-bandaru/cost-accounting-workbook</t>
  </si>
  <si>
    <t xml:space="preserve">This file is a one-month standard-cost close. Standards live on 01_Standards. July actuals live on 02_Actuals. 03_Variances calculates the textbook stack (material price/qty, labor rate/efficiency, VOH spending/efficiency, FOH budget/volume). 05_Bridge ties standard COGS to actual COGS so an FP&amp;A interview answer has a picture.</t>
  </si>
  <si>
    <t xml:space="preserve">Sign convention: a positive variance is UNFAVORABLE (costs higher than standard).</t>
  </si>
  <si>
    <t xml:space="preserve">Standards (inputs)</t>
  </si>
  <si>
    <t xml:space="preserve">Two SKUs share the same plant and fixed-overhead pool.</t>
  </si>
  <si>
    <t xml:space="preserve">SKU</t>
  </si>
  <si>
    <t xml:space="preserve">Housing-A</t>
  </si>
  <si>
    <t xml:space="preserve">Housing-B</t>
  </si>
  <si>
    <t xml:space="preserve">Standard output (units / month, denominator)</t>
  </si>
  <si>
    <t xml:space="preserve">Material kg per unit</t>
  </si>
  <si>
    <t xml:space="preserve">Standard material $ / kg</t>
  </si>
  <si>
    <t xml:space="preserve">Direct labor hours per unit</t>
  </si>
  <si>
    <t xml:space="preserve">Standard labor $ / hour</t>
  </si>
  <si>
    <t xml:space="preserve">VOH $ / labor hour</t>
  </si>
  <si>
    <t xml:space="preserve">Fixed OH budget $ / month (plant)</t>
  </si>
  <si>
    <t xml:space="preserve">Shared pool — do not split in the input</t>
  </si>
  <si>
    <t xml:space="preserve">Derived standards (do not edit)</t>
  </si>
  <si>
    <t xml:space="preserve">Standard material $ / unit</t>
  </si>
  <si>
    <t xml:space="preserve">Standard labor $ / unit</t>
  </si>
  <si>
    <t xml:space="preserve">Standard VOH $ / unit</t>
  </si>
  <si>
    <t xml:space="preserve">Practical capacity (units, both SKUs)</t>
  </si>
  <si>
    <t xml:space="preserve">FOH rate $ / unit (budget FOH / capacity)</t>
  </si>
  <si>
    <t xml:space="preserve">July 2026 actuals (inputs)</t>
  </si>
  <si>
    <t xml:space="preserve">Production</t>
  </si>
  <si>
    <t xml:space="preserve">Units produced</t>
  </si>
  <si>
    <t xml:space="preserve">Material kg used</t>
  </si>
  <si>
    <t xml:space="preserve">Direct labor hours</t>
  </si>
  <si>
    <t xml:space="preserve">Plant actual spend (not split by SKU)</t>
  </si>
  <si>
    <t xml:space="preserve">Actual material $ purchased and used (no inventory change)</t>
  </si>
  <si>
    <t xml:space="preserve">Actual direct labor $</t>
  </si>
  <si>
    <t xml:space="preserve">Actual variable overhead $</t>
  </si>
  <si>
    <t xml:space="preserve">Actual fixed overhead $</t>
  </si>
  <si>
    <t xml:space="preserve">Derived actual rates</t>
  </si>
  <si>
    <t xml:space="preserve">Total units</t>
  </si>
  <si>
    <t xml:space="preserve">Total kg used</t>
  </si>
  <si>
    <t xml:space="preserve">Total DL hours</t>
  </si>
  <si>
    <t xml:space="preserve">Actual $ / kg</t>
  </si>
  <si>
    <t xml:space="preserve">Actual labor $ / hour</t>
  </si>
  <si>
    <t xml:space="preserve">Actual VOH $ / hour</t>
  </si>
  <si>
    <t xml:space="preserve">Variance stack  •  + = unfavorable</t>
  </si>
  <si>
    <t xml:space="preserve">Line</t>
  </si>
  <si>
    <t xml:space="preserve">Formula in words</t>
  </si>
  <si>
    <t xml:space="preserve">$</t>
  </si>
  <si>
    <t xml:space="preserve">Standard kg allowed</t>
  </si>
  <si>
    <t xml:space="preserve">units × std kg / unit</t>
  </si>
  <si>
    <t xml:space="preserve">Standard hours allowed</t>
  </si>
  <si>
    <t xml:space="preserve">units × std hours / unit</t>
  </si>
  <si>
    <t xml:space="preserve">Standard material $ allowed</t>
  </si>
  <si>
    <t xml:space="preserve">std kg allowed × std $ / kg</t>
  </si>
  <si>
    <t xml:space="preserve">Standard labor $ allowed</t>
  </si>
  <si>
    <t xml:space="preserve">std hours allowed × std $ / hr</t>
  </si>
  <si>
    <t xml:space="preserve">Standard VOH $ allowed</t>
  </si>
  <si>
    <t xml:space="preserve">std hours allowed × VOH rate</t>
  </si>
  <si>
    <t xml:space="preserve">Applied FOH $</t>
  </si>
  <si>
    <t xml:space="preserve">units × FOH rate</t>
  </si>
  <si>
    <t xml:space="preserve">Material price variance</t>
  </si>
  <si>
    <t xml:space="preserve">(actual $/kg − std $/kg) × actual kg</t>
  </si>
  <si>
    <t xml:space="preserve">Material quantity variance</t>
  </si>
  <si>
    <t xml:space="preserve">(actual kg − std kg allowed) × std $/kg</t>
  </si>
  <si>
    <t xml:space="preserve">Total material variance</t>
  </si>
  <si>
    <t xml:space="preserve">price + quantity</t>
  </si>
  <si>
    <t xml:space="preserve">Labor rate variance</t>
  </si>
  <si>
    <t xml:space="preserve">(actual $/hr − std $/hr) × actual hours</t>
  </si>
  <si>
    <t xml:space="preserve">Labor efficiency variance</t>
  </si>
  <si>
    <t xml:space="preserve">(actual hours − std hours allowed) × std $/hr</t>
  </si>
  <si>
    <t xml:space="preserve">Total labor variance</t>
  </si>
  <si>
    <t xml:space="preserve">rate + efficiency</t>
  </si>
  <si>
    <t xml:space="preserve">VOH spending variance</t>
  </si>
  <si>
    <t xml:space="preserve">actual VOH − (actual hours × std VOH rate)</t>
  </si>
  <si>
    <t xml:space="preserve">VOH efficiency variance</t>
  </si>
  <si>
    <t xml:space="preserve">(actual hours − std hours) × std VOH rate</t>
  </si>
  <si>
    <t xml:space="preserve">Total VOH variance</t>
  </si>
  <si>
    <t xml:space="preserve">spending + efficiency</t>
  </si>
  <si>
    <t xml:space="preserve">FOH budget variance</t>
  </si>
  <si>
    <t xml:space="preserve">actual FOH − budget FOH</t>
  </si>
  <si>
    <t xml:space="preserve">FOH volume variance</t>
  </si>
  <si>
    <t xml:space="preserve">budget FOH − applied FOH</t>
  </si>
  <si>
    <t xml:space="preserve">Total FOH variance</t>
  </si>
  <si>
    <t xml:space="preserve">budget + volume</t>
  </si>
  <si>
    <t xml:space="preserve">Total manufacturing variance</t>
  </si>
  <si>
    <t xml:space="preserve">mat + labor + VOH + FOH</t>
  </si>
  <si>
    <t xml:space="preserve">SKU lens — material quantity only (price is plant-level)</t>
  </si>
  <si>
    <t xml:space="preserve">Std kg allowed</t>
  </si>
  <si>
    <t xml:space="preserve">Actual kg</t>
  </si>
  <si>
    <t xml:space="preserve">Qty var $</t>
  </si>
  <si>
    <t xml:space="preserve">Total</t>
  </si>
  <si>
    <t xml:space="preserve">If Housing-B qty var is the bulk of the miss, the story is mix or a heavier part — not a plant-wide waste problem.</t>
  </si>
  <si>
    <t xml:space="preserve">Standard COGS → actual COGS</t>
  </si>
  <si>
    <t xml:space="preserve">July 2026  •  $  •  + unfavorable</t>
  </si>
  <si>
    <t xml:space="preserve">Step</t>
  </si>
  <si>
    <t xml:space="preserve">Standard COGS (flexed for actual units)</t>
  </si>
  <si>
    <t xml:space="preserve">+ Material price</t>
  </si>
  <si>
    <t xml:space="preserve">+ Material quantity</t>
  </si>
  <si>
    <t xml:space="preserve">+ Labor rate</t>
  </si>
  <si>
    <t xml:space="preserve">+ Labor efficiency</t>
  </si>
  <si>
    <t xml:space="preserve">+ VOH spending</t>
  </si>
  <si>
    <t xml:space="preserve">+ VOH efficiency</t>
  </si>
  <si>
    <t xml:space="preserve">+ FOH budget</t>
  </si>
  <si>
    <t xml:space="preserve">+ FOH volume</t>
  </si>
  <si>
    <t xml:space="preserve">Actual COGS (tie-out)</t>
  </si>
  <si>
    <t xml:space="preserve">Check: standard + all variances</t>
  </si>
  <si>
    <t xml:space="preserve">Difference (must be 0)</t>
  </si>
  <si>
    <t xml:space="preserve">Talk track</t>
  </si>
  <si>
    <t xml:space="preserve">Start at flexed standard COGS — that already gives operations credit for the units they built. Then walk price vs quantity, rate vs efficiency, budget vs volume. In this sample month, expect material price and some quantity, a labor rate miss, and a small FOH volume miss because output is under capacity. That is the operations / purchasing / HR split an FP&amp;A partner is hired to make.</t>
  </si>
  <si>
    <t xml:space="preserve">Dictionary</t>
  </si>
  <si>
    <t xml:space="preserve">Term</t>
  </si>
  <si>
    <t xml:space="preserve">Meaning here</t>
  </si>
  <si>
    <t xml:space="preserve">Standard cost</t>
  </si>
  <si>
    <t xml:space="preserve">Should-cost per unit from the BOM + routing + OH rates.</t>
  </si>
  <si>
    <t xml:space="preserve">Flexed standard</t>
  </si>
  <si>
    <t xml:space="preserve">Standard × actual units. Fair yardstick after volume is known.</t>
  </si>
  <si>
    <t xml:space="preserve">Price / rate variance</t>
  </si>
  <si>
    <t xml:space="preserve">Paid a different $ per kg or per hour than the standard.</t>
  </si>
  <si>
    <t xml:space="preserve">Quantity / efficiency</t>
  </si>
  <si>
    <t xml:space="preserve">Used a different kg or hours than the standard allowed.</t>
  </si>
  <si>
    <t xml:space="preserve">Produced below or above the capacity used to set the FOH rate.</t>
  </si>
  <si>
    <t xml:space="preserve">Unfavorable (+)</t>
  </si>
  <si>
    <t xml:space="preserve">Actual cost higher than standard. This file uses + for UF.</t>
  </si>
</sst>
</file>

<file path=xl/styles.xml><?xml version="1.0" encoding="utf-8"?>
<styleSheet xmlns="http://schemas.openxmlformats.org/spreadsheetml/2006/main">
  <numFmts count="6">
    <numFmt numFmtId="164" formatCode="General"/>
    <numFmt numFmtId="165" formatCode="#,##0;\(#,##0\);\-"/>
    <numFmt numFmtId="166" formatCode="#,##0.00;\(#,##0.00\);\-"/>
    <numFmt numFmtId="167" formatCode="\$#,##0.00;&quot;($&quot;#,##0.00\);\-"/>
    <numFmt numFmtId="168" formatCode="\$#,##0;&quot;($&quot;#,##0\);\-"/>
    <numFmt numFmtId="169" formatCode="#,##0.0;\(#,##0.0\);\-"/>
  </numFmts>
  <fonts count="15">
    <font>
      <sz val="11"/>
      <color theme="1"/>
      <name val="Calibri"/>
      <family val="2"/>
      <charset val="1"/>
    </font>
    <font>
      <sz val="10"/>
      <name val="Arial"/>
      <family val="0"/>
    </font>
    <font>
      <sz val="10"/>
      <name val="Arial"/>
      <family val="0"/>
    </font>
    <font>
      <sz val="10"/>
      <name val="Arial"/>
      <family val="0"/>
    </font>
    <font>
      <b val="true"/>
      <sz val="18"/>
      <color rgb="FF1B365D"/>
      <name val="Calibri"/>
      <family val="0"/>
      <charset val="1"/>
    </font>
    <font>
      <sz val="13"/>
      <color rgb="FF0F6C8C"/>
      <name val="Calibri"/>
      <family val="0"/>
      <charset val="1"/>
    </font>
    <font>
      <i val="true"/>
      <sz val="9"/>
      <color rgb="FF667085"/>
      <name val="Calibri"/>
      <family val="0"/>
      <charset val="1"/>
    </font>
    <font>
      <sz val="10"/>
      <color rgb="FF1D2939"/>
      <name val="Calibri"/>
      <family val="0"/>
      <charset val="1"/>
    </font>
    <font>
      <b val="true"/>
      <sz val="10"/>
      <color rgb="FF1B365D"/>
      <name val="Calibri"/>
      <family val="0"/>
      <charset val="1"/>
    </font>
    <font>
      <b val="true"/>
      <sz val="10"/>
      <color rgb="FFFFFFFF"/>
      <name val="Calibri"/>
      <family val="0"/>
      <charset val="1"/>
    </font>
    <font>
      <sz val="10"/>
      <color rgb="FF0000FF"/>
      <name val="Calibri"/>
      <family val="0"/>
      <charset val="1"/>
    </font>
    <font>
      <b val="true"/>
      <sz val="13"/>
      <color rgb="FF1B365D"/>
      <name val="Calibri"/>
      <family val="0"/>
      <charset val="1"/>
    </font>
    <font>
      <sz val="10"/>
      <color rgb="FF000000"/>
      <name val="Calibri"/>
      <family val="0"/>
      <charset val="1"/>
    </font>
    <font>
      <b val="true"/>
      <sz val="18"/>
      <color rgb="FF000000"/>
      <name val="Calibri"/>
      <family val="2"/>
    </font>
    <font>
      <sz val="10"/>
      <color rgb="FF000000"/>
      <name val="Calibri"/>
      <family val="2"/>
    </font>
  </fonts>
  <fills count="5">
    <fill>
      <patternFill patternType="none"/>
    </fill>
    <fill>
      <patternFill patternType="gray125"/>
    </fill>
    <fill>
      <patternFill patternType="solid">
        <fgColor rgb="FF1B365D"/>
        <bgColor rgb="FF1D2939"/>
      </patternFill>
    </fill>
    <fill>
      <patternFill patternType="solid">
        <fgColor rgb="FFFFF3BF"/>
        <bgColor rgb="FFFFFF99"/>
      </patternFill>
    </fill>
    <fill>
      <patternFill patternType="solid">
        <fgColor rgb="FFF4F7FA"/>
        <bgColor rgb="FFF9F9F9"/>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center" vertical="center" textRotation="0" wrapText="true" indent="0" shrinkToFit="false"/>
      <protection locked="true" hidden="false"/>
    </xf>
    <xf numFmtId="166" fontId="10" fillId="3" borderId="1" xfId="0" applyFont="true" applyBorder="true" applyAlignment="true" applyProtection="false">
      <alignment horizontal="center" vertical="center" textRotation="0" wrapText="true" indent="0" shrinkToFit="false"/>
      <protection locked="true" hidden="false"/>
    </xf>
    <xf numFmtId="167" fontId="10" fillId="3" borderId="1" xfId="0" applyFont="true" applyBorder="true" applyAlignment="true" applyProtection="false">
      <alignment horizontal="center" vertical="center" textRotation="0" wrapText="true" indent="0" shrinkToFit="false"/>
      <protection locked="true" hidden="false"/>
    </xf>
    <xf numFmtId="168" fontId="10" fillId="3"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12" fillId="0" borderId="1" xfId="0" applyFont="true" applyBorder="true" applyAlignment="true" applyProtection="false">
      <alignment horizontal="center" vertical="center" textRotation="0" wrapText="true" indent="0" shrinkToFit="false"/>
      <protection locked="true" hidden="false"/>
    </xf>
    <xf numFmtId="165" fontId="12" fillId="0" borderId="1" xfId="0" applyFont="true" applyBorder="true" applyAlignment="true" applyProtection="false">
      <alignment horizontal="center" vertical="center" textRotation="0" wrapText="true" indent="0" shrinkToFit="false"/>
      <protection locked="true" hidden="false"/>
    </xf>
    <xf numFmtId="169" fontId="10" fillId="3" borderId="1" xfId="0" applyFont="true" applyBorder="true" applyAlignment="true" applyProtection="false">
      <alignment horizontal="center" vertical="center" textRotation="0" wrapText="true" indent="0" shrinkToFit="false"/>
      <protection locked="true" hidden="false"/>
    </xf>
    <xf numFmtId="169" fontId="12"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C8C"/>
      <rgbColor rgb="FFD9D9D9"/>
      <rgbColor rgb="FF878787"/>
      <rgbColor rgb="FF9999FF"/>
      <rgbColor rgb="FF993366"/>
      <rgbColor rgb="FFFFF3BF"/>
      <rgbColor rgb="FFF4F7FA"/>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9F9F9"/>
      <rgbColor rgb="FFCCFFCC"/>
      <rgbColor rgb="FFFFFF99"/>
      <rgbColor rgb="FF99CCFF"/>
      <rgbColor rgb="FFFF99CC"/>
      <rgbColor rgb="FFCC99FF"/>
      <rgbColor rgb="FFFFCC99"/>
      <rgbColor rgb="FF4F81BD"/>
      <rgbColor rgb="FF33CCCC"/>
      <rgbColor rgb="FF99CC00"/>
      <rgbColor rgb="FFFFCC00"/>
      <rgbColor rgb="FFFF9900"/>
      <rgbColor rgb="FFFF6600"/>
      <rgbColor rgb="FF667085"/>
      <rgbColor rgb="FF969696"/>
      <rgbColor rgb="FF1B365D"/>
      <rgbColor rgb="FF339966"/>
      <rgbColor rgb="FF003300"/>
      <rgbColor rgb="FF333300"/>
      <rgbColor rgb="FF993300"/>
      <rgbColor rgb="FF993366"/>
      <rgbColor rgb="FF333399"/>
      <rgbColor rgb="FF1D293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Variance stack ($)</a:t>
            </a:r>
          </a:p>
        </c:rich>
      </c:tx>
      <c:overlay val="0"/>
      <c:spPr>
        <a:noFill/>
        <a:ln w="0">
          <a:noFill/>
        </a:ln>
      </c:spPr>
    </c:title>
    <c:autoTitleDeleted val="0"/>
    <c:plotArea>
      <c:barChart>
        <c:barDir val="bar"/>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05_Bridge!$B$7:$B$14</c:f>
              <c:strCache>
                <c:ptCount val="8"/>
                <c:pt idx="0">
                  <c:v>+ Material price</c:v>
                </c:pt>
                <c:pt idx="1">
                  <c:v>+ Material quantity</c:v>
                </c:pt>
                <c:pt idx="2">
                  <c:v>+ Labor rate</c:v>
                </c:pt>
                <c:pt idx="3">
                  <c:v>+ Labor efficiency</c:v>
                </c:pt>
                <c:pt idx="4">
                  <c:v>+ VOH spending</c:v>
                </c:pt>
                <c:pt idx="5">
                  <c:v>+ VOH efficiency</c:v>
                </c:pt>
                <c:pt idx="6">
                  <c:v>+ FOH budget</c:v>
                </c:pt>
                <c:pt idx="7">
                  <c:v>+ FOH volume</c:v>
                </c:pt>
              </c:strCache>
            </c:strRef>
          </c:cat>
          <c:val>
            <c:numRef>
              <c:f>05_Bridge!$C$7:$C$14</c:f>
              <c:numCache>
                <c:formatCode>\$#,##0;"($"#,##0\);\-</c:formatCode>
                <c:ptCount val="8"/>
                <c:pt idx="0">
                  <c:v>7885</c:v>
                </c:pt>
                <c:pt idx="1">
                  <c:v>7798.75</c:v>
                </c:pt>
                <c:pt idx="2">
                  <c:v>8360</c:v>
                </c:pt>
                <c:pt idx="3">
                  <c:v>7260</c:v>
                </c:pt>
                <c:pt idx="4">
                  <c:v>2420</c:v>
                </c:pt>
                <c:pt idx="5">
                  <c:v>2145</c:v>
                </c:pt>
                <c:pt idx="6">
                  <c:v>2200</c:v>
                </c:pt>
                <c:pt idx="7">
                  <c:v>2362.5</c:v>
                </c:pt>
              </c:numCache>
            </c:numRef>
          </c:val>
        </c:ser>
        <c:gapWidth val="150"/>
        <c:overlap val="0"/>
        <c:axId val="63387633"/>
        <c:axId val="67589823"/>
      </c:barChart>
      <c:catAx>
        <c:axId val="6338763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589823"/>
        <c:crosses val="autoZero"/>
        <c:auto val="1"/>
        <c:lblAlgn val="ctr"/>
        <c:lblOffset val="100"/>
        <c:noMultiLvlLbl val="0"/>
      </c:catAx>
      <c:valAx>
        <c:axId val="67589823"/>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38763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xdr:row>
      <xdr:rowOff>101160</xdr:rowOff>
    </xdr:from>
    <xdr:to>
      <xdr:col>13</xdr:col>
      <xdr:colOff>256320</xdr:colOff>
      <xdr:row>18</xdr:row>
      <xdr:rowOff>123120</xdr:rowOff>
    </xdr:to>
    <xdr:graphicFrame>
      <xdr:nvGraphicFramePr>
        <xdr:cNvPr id="0" name="Chart 1"/>
        <xdr:cNvGraphicFramePr/>
      </xdr:nvGraphicFramePr>
      <xdr:xfrm>
        <a:off x="5334120" y="76212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8" min="3" style="0" width="14"/>
  </cols>
  <sheetData>
    <row r="2" customFormat="false" ht="22.05" hidden="false" customHeight="false" outlineLevel="0" collapsed="false">
      <c r="B2" s="1" t="s">
        <v>0</v>
      </c>
    </row>
    <row r="3" customFormat="false" ht="16.15" hidden="false" customHeight="false" outlineLevel="0" collapsed="false">
      <c r="B3" s="2" t="s">
        <v>1</v>
      </c>
    </row>
    <row r="5" customFormat="false" ht="15" hidden="false" customHeight="false" outlineLevel="0" collapsed="false">
      <c r="B5" s="3" t="s">
        <v>2</v>
      </c>
    </row>
    <row r="7" customFormat="false" ht="15" hidden="false" customHeight="true" outlineLevel="0" collapsed="false">
      <c r="B7" s="4" t="s">
        <v>3</v>
      </c>
      <c r="C7" s="4"/>
      <c r="D7" s="4"/>
      <c r="E7" s="4"/>
      <c r="F7" s="4"/>
      <c r="G7" s="4"/>
      <c r="H7" s="4"/>
    </row>
    <row r="8" customFormat="false" ht="15" hidden="false" customHeight="false" outlineLevel="0" collapsed="false">
      <c r="B8" s="4"/>
      <c r="C8" s="4"/>
      <c r="D8" s="4"/>
      <c r="E8" s="4"/>
      <c r="F8" s="4"/>
      <c r="G8" s="4"/>
      <c r="H8" s="4"/>
    </row>
    <row r="9" customFormat="false" ht="15" hidden="false" customHeight="false" outlineLevel="0" collapsed="false">
      <c r="B9" s="4"/>
      <c r="C9" s="4"/>
      <c r="D9" s="4"/>
      <c r="E9" s="4"/>
      <c r="F9" s="4"/>
      <c r="G9" s="4"/>
      <c r="H9" s="4"/>
    </row>
    <row r="10" customFormat="false" ht="15" hidden="false" customHeight="false" outlineLevel="0" collapsed="false">
      <c r="B10" s="4"/>
      <c r="C10" s="4"/>
      <c r="D10" s="4"/>
      <c r="E10" s="4"/>
      <c r="F10" s="4"/>
      <c r="G10" s="4"/>
      <c r="H10" s="4"/>
    </row>
    <row r="12" customFormat="false" ht="15" hidden="false" customHeight="false" outlineLevel="0" collapsed="false">
      <c r="B12" s="5" t="s">
        <v>4</v>
      </c>
    </row>
  </sheetData>
  <mergeCells count="1">
    <mergeCell ref="B7:H10"/>
  </mergeCells>
  <printOptions headings="false" gridLines="false" gridLinesSet="true" horizontalCentered="false" verticalCentered="false"/>
  <pageMargins left="0.75" right="0.75" top="1" bottom="1" header="0.511811023622047" footer="0.511811023622047"/>
  <pageSetup paperSize="3"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6"/>
    <col collapsed="false" customWidth="true" hidden="false" outlineLevel="0" max="3" min="3" style="0" width="42"/>
  </cols>
  <sheetData>
    <row r="1" customFormat="false" ht="22.05" hidden="false" customHeight="false" outlineLevel="0" collapsed="false">
      <c r="A1" s="1" t="s">
        <v>5</v>
      </c>
    </row>
    <row r="2" customFormat="false" ht="15" hidden="false" customHeight="false" outlineLevel="0" collapsed="false">
      <c r="A2" s="3" t="s">
        <v>6</v>
      </c>
    </row>
    <row r="4" customFormat="false" ht="15" hidden="false" customHeight="false" outlineLevel="0" collapsed="false">
      <c r="A4" s="6" t="s">
        <v>7</v>
      </c>
      <c r="B4" s="6" t="s">
        <v>8</v>
      </c>
      <c r="C4" s="6" t="s">
        <v>9</v>
      </c>
    </row>
    <row r="5" customFormat="false" ht="15" hidden="false" customHeight="false" outlineLevel="0" collapsed="false">
      <c r="A5" s="7" t="s">
        <v>10</v>
      </c>
      <c r="B5" s="8" t="n">
        <v>10000</v>
      </c>
      <c r="C5" s="8" t="n">
        <v>6000</v>
      </c>
    </row>
    <row r="6" customFormat="false" ht="15" hidden="false" customHeight="false" outlineLevel="0" collapsed="false">
      <c r="A6" s="7" t="s">
        <v>11</v>
      </c>
      <c r="B6" s="9" t="n">
        <v>2.4</v>
      </c>
      <c r="C6" s="9" t="n">
        <v>3.1</v>
      </c>
    </row>
    <row r="7" customFormat="false" ht="15" hidden="false" customHeight="false" outlineLevel="0" collapsed="false">
      <c r="A7" s="7" t="s">
        <v>12</v>
      </c>
      <c r="B7" s="10" t="n">
        <v>4.25</v>
      </c>
      <c r="C7" s="10" t="n">
        <v>4.25</v>
      </c>
    </row>
    <row r="8" customFormat="false" ht="15" hidden="false" customHeight="false" outlineLevel="0" collapsed="false">
      <c r="A8" s="7" t="s">
        <v>13</v>
      </c>
      <c r="B8" s="9" t="n">
        <v>0.35</v>
      </c>
      <c r="C8" s="9" t="n">
        <v>0.48</v>
      </c>
    </row>
    <row r="9" customFormat="false" ht="15" hidden="false" customHeight="false" outlineLevel="0" collapsed="false">
      <c r="A9" s="7" t="s">
        <v>14</v>
      </c>
      <c r="B9" s="10" t="n">
        <v>22</v>
      </c>
      <c r="C9" s="10" t="n">
        <v>22</v>
      </c>
    </row>
    <row r="10" customFormat="false" ht="15" hidden="false" customHeight="false" outlineLevel="0" collapsed="false">
      <c r="A10" s="7" t="s">
        <v>15</v>
      </c>
      <c r="B10" s="10" t="n">
        <v>6.5</v>
      </c>
      <c r="C10" s="10" t="n">
        <v>6.5</v>
      </c>
    </row>
    <row r="11" customFormat="false" ht="15" hidden="false" customHeight="false" outlineLevel="0" collapsed="false">
      <c r="A11" s="0" t="s">
        <v>16</v>
      </c>
      <c r="B11" s="11" t="n">
        <v>84000</v>
      </c>
      <c r="C11" s="3" t="s">
        <v>17</v>
      </c>
    </row>
    <row r="13" customFormat="false" ht="16.15" hidden="false" customHeight="false" outlineLevel="0" collapsed="false">
      <c r="A13" s="12" t="s">
        <v>18</v>
      </c>
    </row>
    <row r="14" customFormat="false" ht="15" hidden="false" customHeight="false" outlineLevel="0" collapsed="false">
      <c r="A14" s="7" t="s">
        <v>19</v>
      </c>
      <c r="B14" s="13" t="n">
        <f aca="false">B6*B7</f>
        <v>10.2</v>
      </c>
      <c r="C14" s="13" t="n">
        <f aca="false">C6*C7</f>
        <v>13.175</v>
      </c>
    </row>
    <row r="15" customFormat="false" ht="15" hidden="false" customHeight="false" outlineLevel="0" collapsed="false">
      <c r="A15" s="7" t="s">
        <v>20</v>
      </c>
      <c r="B15" s="13" t="n">
        <f aca="false">B8*B9</f>
        <v>7.7</v>
      </c>
      <c r="C15" s="13" t="n">
        <f aca="false">C8*C9</f>
        <v>10.56</v>
      </c>
    </row>
    <row r="16" customFormat="false" ht="15" hidden="false" customHeight="false" outlineLevel="0" collapsed="false">
      <c r="A16" s="7" t="s">
        <v>21</v>
      </c>
      <c r="B16" s="13" t="n">
        <f aca="false">B8*B10</f>
        <v>2.275</v>
      </c>
      <c r="C16" s="13" t="n">
        <f aca="false">C8*C10</f>
        <v>3.12</v>
      </c>
    </row>
    <row r="17" customFormat="false" ht="15" hidden="false" customHeight="false" outlineLevel="0" collapsed="false">
      <c r="A17" s="7" t="s">
        <v>22</v>
      </c>
      <c r="B17" s="14" t="n">
        <f aca="false">B5+C5</f>
        <v>16000</v>
      </c>
    </row>
    <row r="18" customFormat="false" ht="15" hidden="false" customHeight="false" outlineLevel="0" collapsed="false">
      <c r="A18" s="7" t="s">
        <v>23</v>
      </c>
      <c r="B18" s="13" t="n">
        <f aca="false">B11/B17</f>
        <v>5.25</v>
      </c>
    </row>
  </sheetData>
  <printOptions headings="false" gridLines="false" gridLinesSet="true" horizontalCentered="false" verticalCentered="false"/>
  <pageMargins left="0.75" right="0.75" top="1" bottom="1" header="0.511811023622047" footer="0.511811023622047"/>
  <pageSetup paperSize="3"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6"/>
  </cols>
  <sheetData>
    <row r="1" customFormat="false" ht="22.05" hidden="false" customHeight="false" outlineLevel="0" collapsed="false">
      <c r="A1" s="1" t="s">
        <v>24</v>
      </c>
    </row>
    <row r="3" customFormat="false" ht="15" hidden="false" customHeight="false" outlineLevel="0" collapsed="false">
      <c r="A3" s="6" t="s">
        <v>25</v>
      </c>
      <c r="B3" s="6" t="s">
        <v>8</v>
      </c>
      <c r="C3" s="6" t="s">
        <v>9</v>
      </c>
    </row>
    <row r="4" customFormat="false" ht="15" hidden="false" customHeight="false" outlineLevel="0" collapsed="false">
      <c r="A4" s="7" t="s">
        <v>26</v>
      </c>
      <c r="B4" s="8" t="n">
        <v>9800</v>
      </c>
      <c r="C4" s="8" t="n">
        <v>5750</v>
      </c>
    </row>
    <row r="5" customFormat="false" ht="15" hidden="false" customHeight="false" outlineLevel="0" collapsed="false">
      <c r="A5" s="7" t="s">
        <v>27</v>
      </c>
      <c r="B5" s="8" t="n">
        <v>24500</v>
      </c>
      <c r="C5" s="8" t="n">
        <v>18680</v>
      </c>
    </row>
    <row r="6" customFormat="false" ht="15" hidden="false" customHeight="false" outlineLevel="0" collapsed="false">
      <c r="A6" s="7" t="s">
        <v>28</v>
      </c>
      <c r="B6" s="15" t="n">
        <v>3600</v>
      </c>
      <c r="C6" s="15" t="n">
        <v>2920</v>
      </c>
    </row>
    <row r="8" customFormat="false" ht="15" hidden="false" customHeight="false" outlineLevel="0" collapsed="false">
      <c r="A8" s="7" t="s">
        <v>29</v>
      </c>
    </row>
    <row r="9" customFormat="false" ht="15" hidden="false" customHeight="false" outlineLevel="0" collapsed="false">
      <c r="A9" s="7" t="s">
        <v>30</v>
      </c>
      <c r="B9" s="11" t="n">
        <v>191400</v>
      </c>
    </row>
    <row r="10" customFormat="false" ht="15" hidden="false" customHeight="false" outlineLevel="0" collapsed="false">
      <c r="A10" s="7" t="s">
        <v>31</v>
      </c>
      <c r="B10" s="11" t="n">
        <v>151800</v>
      </c>
    </row>
    <row r="11" customFormat="false" ht="15" hidden="false" customHeight="false" outlineLevel="0" collapsed="false">
      <c r="A11" s="7" t="s">
        <v>32</v>
      </c>
      <c r="B11" s="11" t="n">
        <v>44800</v>
      </c>
    </row>
    <row r="12" customFormat="false" ht="15" hidden="false" customHeight="false" outlineLevel="0" collapsed="false">
      <c r="A12" s="7" t="s">
        <v>33</v>
      </c>
      <c r="B12" s="11" t="n">
        <v>86200</v>
      </c>
    </row>
    <row r="14" customFormat="false" ht="16.15" hidden="false" customHeight="false" outlineLevel="0" collapsed="false">
      <c r="A14" s="12" t="s">
        <v>34</v>
      </c>
    </row>
    <row r="15" customFormat="false" ht="15" hidden="false" customHeight="false" outlineLevel="0" collapsed="false">
      <c r="A15" s="7" t="s">
        <v>35</v>
      </c>
      <c r="B15" s="14" t="n">
        <f aca="false">B4+C4</f>
        <v>15550</v>
      </c>
    </row>
    <row r="16" customFormat="false" ht="15" hidden="false" customHeight="false" outlineLevel="0" collapsed="false">
      <c r="A16" s="7" t="s">
        <v>36</v>
      </c>
      <c r="B16" s="14" t="n">
        <f aca="false">B5+C5</f>
        <v>43180</v>
      </c>
    </row>
    <row r="17" customFormat="false" ht="15" hidden="false" customHeight="false" outlineLevel="0" collapsed="false">
      <c r="A17" s="7" t="s">
        <v>37</v>
      </c>
      <c r="B17" s="16" t="n">
        <f aca="false">B6+C6</f>
        <v>6520</v>
      </c>
    </row>
    <row r="18" customFormat="false" ht="15" hidden="false" customHeight="false" outlineLevel="0" collapsed="false">
      <c r="A18" s="7" t="s">
        <v>38</v>
      </c>
      <c r="B18" s="13" t="n">
        <f aca="false">B9/B16</f>
        <v>4.43260768874479</v>
      </c>
    </row>
    <row r="19" customFormat="false" ht="15" hidden="false" customHeight="false" outlineLevel="0" collapsed="false">
      <c r="A19" s="7" t="s">
        <v>39</v>
      </c>
      <c r="B19" s="13" t="n">
        <f aca="false">B10/B17</f>
        <v>23.2822085889571</v>
      </c>
    </row>
    <row r="20" customFormat="false" ht="15" hidden="false" customHeight="false" outlineLevel="0" collapsed="false">
      <c r="A20" s="7" t="s">
        <v>40</v>
      </c>
      <c r="B20" s="13" t="n">
        <f aca="false">B11/B17</f>
        <v>6.87116564417178</v>
      </c>
    </row>
  </sheetData>
  <printOptions headings="false" gridLines="false" gridLinesSet="true" horizontalCentered="false" verticalCentered="false"/>
  <pageMargins left="0.75" right="0.75" top="1" bottom="1" header="0.511811023622047" footer="0.511811023622047"/>
  <pageSetup paperSize="3"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58"/>
    <col collapsed="false" customWidth="true" hidden="false" outlineLevel="0" max="3" min="3" style="0" width="16"/>
  </cols>
  <sheetData>
    <row r="1" customFormat="false" ht="22.05" hidden="false" customHeight="false" outlineLevel="0" collapsed="false">
      <c r="A1" s="1" t="s">
        <v>41</v>
      </c>
    </row>
    <row r="3" customFormat="false" ht="15" hidden="false" customHeight="false" outlineLevel="0" collapsed="false">
      <c r="A3" s="6" t="s">
        <v>42</v>
      </c>
      <c r="B3" s="6" t="s">
        <v>43</v>
      </c>
      <c r="C3" s="6" t="s">
        <v>44</v>
      </c>
    </row>
    <row r="4" customFormat="false" ht="15" hidden="false" customHeight="false" outlineLevel="0" collapsed="false">
      <c r="A4" s="17" t="s">
        <v>45</v>
      </c>
      <c r="B4" s="18" t="s">
        <v>46</v>
      </c>
      <c r="C4" s="14" t="n">
        <f aca="false">02_Actuals!B4*01_Standards!B6+02_Actuals!C4*01_Standards!C6</f>
        <v>41345</v>
      </c>
    </row>
    <row r="5" customFormat="false" ht="15" hidden="false" customHeight="false" outlineLevel="0" collapsed="false">
      <c r="A5" s="17" t="s">
        <v>47</v>
      </c>
      <c r="B5" s="18" t="s">
        <v>48</v>
      </c>
      <c r="C5" s="16" t="n">
        <f aca="false">02_Actuals!B4*01_Standards!B8+02_Actuals!C4*01_Standards!C8</f>
        <v>6190</v>
      </c>
    </row>
    <row r="6" customFormat="false" ht="15" hidden="false" customHeight="false" outlineLevel="0" collapsed="false">
      <c r="A6" s="17" t="s">
        <v>49</v>
      </c>
      <c r="B6" s="18" t="s">
        <v>50</v>
      </c>
      <c r="C6" s="19" t="n">
        <f aca="false">C4*01_Standards!B7</f>
        <v>175716.25</v>
      </c>
    </row>
    <row r="7" customFormat="false" ht="15" hidden="false" customHeight="false" outlineLevel="0" collapsed="false">
      <c r="A7" s="17" t="s">
        <v>51</v>
      </c>
      <c r="B7" s="18" t="s">
        <v>52</v>
      </c>
      <c r="C7" s="19" t="n">
        <f aca="false">C5*01_Standards!B9</f>
        <v>136180</v>
      </c>
    </row>
    <row r="8" customFormat="false" ht="15" hidden="false" customHeight="false" outlineLevel="0" collapsed="false">
      <c r="A8" s="17" t="s">
        <v>53</v>
      </c>
      <c r="B8" s="18" t="s">
        <v>54</v>
      </c>
      <c r="C8" s="19" t="n">
        <f aca="false">C5*01_Standards!B10</f>
        <v>40235</v>
      </c>
    </row>
    <row r="9" customFormat="false" ht="15" hidden="false" customHeight="false" outlineLevel="0" collapsed="false">
      <c r="A9" s="17" t="s">
        <v>55</v>
      </c>
      <c r="B9" s="18" t="s">
        <v>56</v>
      </c>
      <c r="C9" s="19" t="n">
        <f aca="false">02_Actuals!B15*01_Standards!B18</f>
        <v>81637.5</v>
      </c>
    </row>
    <row r="11" customFormat="false" ht="15" hidden="false" customHeight="false" outlineLevel="0" collapsed="false">
      <c r="A11" s="17" t="s">
        <v>57</v>
      </c>
      <c r="B11" s="18" t="s">
        <v>58</v>
      </c>
      <c r="C11" s="19" t="n">
        <f aca="false">(02_Actuals!B18-01_Standards!B7)*02_Actuals!B16</f>
        <v>7885</v>
      </c>
    </row>
    <row r="12" customFormat="false" ht="15" hidden="false" customHeight="false" outlineLevel="0" collapsed="false">
      <c r="A12" s="17" t="s">
        <v>59</v>
      </c>
      <c r="B12" s="18" t="s">
        <v>60</v>
      </c>
      <c r="C12" s="19" t="n">
        <f aca="false">(02_Actuals!B16-C4)*01_Standards!B7</f>
        <v>7798.75</v>
      </c>
    </row>
    <row r="13" customFormat="false" ht="15" hidden="false" customHeight="false" outlineLevel="0" collapsed="false">
      <c r="A13" s="20" t="s">
        <v>61</v>
      </c>
      <c r="B13" s="18" t="s">
        <v>62</v>
      </c>
      <c r="C13" s="21" t="n">
        <f aca="false">C11+C12</f>
        <v>15683.75</v>
      </c>
    </row>
    <row r="15" customFormat="false" ht="15" hidden="false" customHeight="false" outlineLevel="0" collapsed="false">
      <c r="A15" s="17" t="s">
        <v>63</v>
      </c>
      <c r="B15" s="18" t="s">
        <v>64</v>
      </c>
      <c r="C15" s="19" t="n">
        <f aca="false">(02_Actuals!B19-01_Standards!B9)*02_Actuals!B17</f>
        <v>8360</v>
      </c>
    </row>
    <row r="16" customFormat="false" ht="15" hidden="false" customHeight="false" outlineLevel="0" collapsed="false">
      <c r="A16" s="17" t="s">
        <v>65</v>
      </c>
      <c r="B16" s="18" t="s">
        <v>66</v>
      </c>
      <c r="C16" s="19" t="n">
        <f aca="false">(02_Actuals!B17-C5)*01_Standards!B9</f>
        <v>7260</v>
      </c>
    </row>
    <row r="17" customFormat="false" ht="15" hidden="false" customHeight="false" outlineLevel="0" collapsed="false">
      <c r="A17" s="20" t="s">
        <v>67</v>
      </c>
      <c r="B17" s="18" t="s">
        <v>68</v>
      </c>
      <c r="C17" s="21" t="n">
        <f aca="false">C15+C16</f>
        <v>15620</v>
      </c>
    </row>
    <row r="19" customFormat="false" ht="15" hidden="false" customHeight="false" outlineLevel="0" collapsed="false">
      <c r="A19" s="17" t="s">
        <v>69</v>
      </c>
      <c r="B19" s="18" t="s">
        <v>70</v>
      </c>
      <c r="C19" s="19" t="n">
        <f aca="false">02_Actuals!B11-(02_Actuals!B17*01_Standards!B10)</f>
        <v>2420</v>
      </c>
    </row>
    <row r="20" customFormat="false" ht="15" hidden="false" customHeight="false" outlineLevel="0" collapsed="false">
      <c r="A20" s="17" t="s">
        <v>71</v>
      </c>
      <c r="B20" s="18" t="s">
        <v>72</v>
      </c>
      <c r="C20" s="19" t="n">
        <f aca="false">(02_Actuals!B17-C5)*01_Standards!B10</f>
        <v>2145</v>
      </c>
    </row>
    <row r="21" customFormat="false" ht="15" hidden="false" customHeight="false" outlineLevel="0" collapsed="false">
      <c r="A21" s="20" t="s">
        <v>73</v>
      </c>
      <c r="B21" s="18" t="s">
        <v>74</v>
      </c>
      <c r="C21" s="21" t="n">
        <f aca="false">C19+C20</f>
        <v>4565</v>
      </c>
    </row>
    <row r="23" customFormat="false" ht="15" hidden="false" customHeight="false" outlineLevel="0" collapsed="false">
      <c r="A23" s="17" t="s">
        <v>75</v>
      </c>
      <c r="B23" s="18" t="s">
        <v>76</v>
      </c>
      <c r="C23" s="19" t="n">
        <f aca="false">02_Actuals!B12-01_Standards!B11</f>
        <v>2200</v>
      </c>
    </row>
    <row r="24" customFormat="false" ht="15" hidden="false" customHeight="false" outlineLevel="0" collapsed="false">
      <c r="A24" s="17" t="s">
        <v>77</v>
      </c>
      <c r="B24" s="18" t="s">
        <v>78</v>
      </c>
      <c r="C24" s="19" t="n">
        <f aca="false">01_Standards!B11-C9</f>
        <v>2362.5</v>
      </c>
    </row>
    <row r="25" customFormat="false" ht="15" hidden="false" customHeight="false" outlineLevel="0" collapsed="false">
      <c r="A25" s="20" t="s">
        <v>79</v>
      </c>
      <c r="B25" s="18" t="s">
        <v>80</v>
      </c>
      <c r="C25" s="21" t="n">
        <f aca="false">C23+C24</f>
        <v>4562.5</v>
      </c>
    </row>
    <row r="27" customFormat="false" ht="15" hidden="false" customHeight="false" outlineLevel="0" collapsed="false">
      <c r="A27" s="20" t="s">
        <v>81</v>
      </c>
      <c r="B27" s="18" t="s">
        <v>82</v>
      </c>
      <c r="C27" s="21" t="n">
        <f aca="false">C13+C17+C21+C25</f>
        <v>40431.25</v>
      </c>
    </row>
  </sheetData>
  <printOptions headings="false" gridLines="false" gridLinesSet="true" horizontalCentered="false" verticalCentered="false"/>
  <pageMargins left="0.75" right="0.75" top="1" bottom="1" header="0.511811023622047" footer="0.511811023622047"/>
  <pageSetup paperSize="3"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16"/>
  </cols>
  <sheetData>
    <row r="1" customFormat="false" ht="22.05" hidden="false" customHeight="false" outlineLevel="0" collapsed="false">
      <c r="A1" s="1" t="s">
        <v>83</v>
      </c>
    </row>
    <row r="3" customFormat="false" ht="15" hidden="false" customHeight="false" outlineLevel="0" collapsed="false">
      <c r="A3" s="6" t="s">
        <v>7</v>
      </c>
      <c r="B3" s="6" t="s">
        <v>84</v>
      </c>
      <c r="C3" s="6" t="s">
        <v>85</v>
      </c>
      <c r="D3" s="6" t="s">
        <v>86</v>
      </c>
    </row>
    <row r="4" customFormat="false" ht="15" hidden="false" customHeight="false" outlineLevel="0" collapsed="false">
      <c r="A4" s="7" t="s">
        <v>8</v>
      </c>
      <c r="B4" s="14" t="n">
        <f aca="false">02_Actuals!B4*01_Standards!B6</f>
        <v>23520</v>
      </c>
      <c r="C4" s="14" t="n">
        <f aca="false">02_Actuals!B5</f>
        <v>24500</v>
      </c>
      <c r="D4" s="19" t="n">
        <f aca="false">(C4-B4)*01_Standards!B7</f>
        <v>4165</v>
      </c>
    </row>
    <row r="5" customFormat="false" ht="15" hidden="false" customHeight="false" outlineLevel="0" collapsed="false">
      <c r="A5" s="7" t="s">
        <v>9</v>
      </c>
      <c r="B5" s="14" t="n">
        <f aca="false">02_Actuals!C4*01_Standards!C6</f>
        <v>17825</v>
      </c>
      <c r="C5" s="14" t="n">
        <f aca="false">02_Actuals!C5</f>
        <v>18680</v>
      </c>
      <c r="D5" s="19" t="n">
        <f aca="false">(C5-B5)*01_Standards!C7</f>
        <v>3633.75</v>
      </c>
    </row>
    <row r="6" customFormat="false" ht="15" hidden="false" customHeight="false" outlineLevel="0" collapsed="false">
      <c r="A6" s="7" t="s">
        <v>87</v>
      </c>
      <c r="B6" s="14" t="n">
        <f aca="false">B4+B5</f>
        <v>41345</v>
      </c>
      <c r="C6" s="14" t="n">
        <f aca="false">C4+C5</f>
        <v>43180</v>
      </c>
      <c r="D6" s="19" t="n">
        <f aca="false">D4+D5</f>
        <v>7798.75</v>
      </c>
    </row>
    <row r="8" customFormat="false" ht="15" hidden="false" customHeight="false" outlineLevel="0" collapsed="false">
      <c r="A8" s="22" t="s">
        <v>88</v>
      </c>
      <c r="B8" s="22"/>
      <c r="C8" s="22"/>
      <c r="D8" s="22"/>
    </row>
  </sheetData>
  <mergeCells count="1">
    <mergeCell ref="A8:D8"/>
  </mergeCells>
  <printOptions headings="false" gridLines="false" gridLinesSet="true" horizontalCentered="false" verticalCentered="false"/>
  <pageMargins left="0.75" right="0.75" top="1" bottom="1" header="0.511811023622047" footer="0.511811023622047"/>
  <pageSetup paperSize="3"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8"/>
    <col collapsed="false" customWidth="true" hidden="false" outlineLevel="0" max="3" min="3" style="0" width="16"/>
  </cols>
  <sheetData>
    <row r="2" customFormat="false" ht="22.05" hidden="false" customHeight="false" outlineLevel="0" collapsed="false">
      <c r="B2" s="1" t="s">
        <v>89</v>
      </c>
    </row>
    <row r="3" customFormat="false" ht="15" hidden="false" customHeight="false" outlineLevel="0" collapsed="false">
      <c r="B3" s="3" t="s">
        <v>90</v>
      </c>
    </row>
    <row r="5" customFormat="false" ht="15" hidden="false" customHeight="false" outlineLevel="0" collapsed="false">
      <c r="B5" s="6" t="s">
        <v>91</v>
      </c>
      <c r="C5" s="6" t="s">
        <v>44</v>
      </c>
    </row>
    <row r="6" customFormat="false" ht="15" hidden="false" customHeight="false" outlineLevel="0" collapsed="false">
      <c r="B6" s="20" t="s">
        <v>92</v>
      </c>
      <c r="C6" s="21" t="n">
        <f aca="false">03_Variances!C6+03_Variances!C7+03_Variances!C8+03_Variances!C9</f>
        <v>433768.75</v>
      </c>
    </row>
    <row r="7" customFormat="false" ht="15" hidden="false" customHeight="false" outlineLevel="0" collapsed="false">
      <c r="B7" s="17" t="s">
        <v>93</v>
      </c>
      <c r="C7" s="19" t="n">
        <f aca="false">03_Variances!C11</f>
        <v>7885</v>
      </c>
    </row>
    <row r="8" customFormat="false" ht="15" hidden="false" customHeight="false" outlineLevel="0" collapsed="false">
      <c r="B8" s="17" t="s">
        <v>94</v>
      </c>
      <c r="C8" s="19" t="n">
        <f aca="false">03_Variances!C12</f>
        <v>7798.75</v>
      </c>
    </row>
    <row r="9" customFormat="false" ht="15" hidden="false" customHeight="false" outlineLevel="0" collapsed="false">
      <c r="B9" s="17" t="s">
        <v>95</v>
      </c>
      <c r="C9" s="19" t="n">
        <f aca="false">03_Variances!C15</f>
        <v>8360</v>
      </c>
    </row>
    <row r="10" customFormat="false" ht="15" hidden="false" customHeight="false" outlineLevel="0" collapsed="false">
      <c r="B10" s="17" t="s">
        <v>96</v>
      </c>
      <c r="C10" s="19" t="n">
        <f aca="false">03_Variances!C16</f>
        <v>7260</v>
      </c>
    </row>
    <row r="11" customFormat="false" ht="15" hidden="false" customHeight="false" outlineLevel="0" collapsed="false">
      <c r="B11" s="17" t="s">
        <v>97</v>
      </c>
      <c r="C11" s="19" t="n">
        <f aca="false">03_Variances!C19</f>
        <v>2420</v>
      </c>
    </row>
    <row r="12" customFormat="false" ht="15" hidden="false" customHeight="false" outlineLevel="0" collapsed="false">
      <c r="B12" s="17" t="s">
        <v>98</v>
      </c>
      <c r="C12" s="19" t="n">
        <f aca="false">03_Variances!C20</f>
        <v>2145</v>
      </c>
    </row>
    <row r="13" customFormat="false" ht="15" hidden="false" customHeight="false" outlineLevel="0" collapsed="false">
      <c r="B13" s="17" t="s">
        <v>99</v>
      </c>
      <c r="C13" s="19" t="n">
        <f aca="false">03_Variances!C23</f>
        <v>2200</v>
      </c>
    </row>
    <row r="14" customFormat="false" ht="15" hidden="false" customHeight="false" outlineLevel="0" collapsed="false">
      <c r="B14" s="17" t="s">
        <v>100</v>
      </c>
      <c r="C14" s="19" t="n">
        <f aca="false">03_Variances!C24</f>
        <v>2362.5</v>
      </c>
    </row>
    <row r="15" customFormat="false" ht="15" hidden="false" customHeight="false" outlineLevel="0" collapsed="false">
      <c r="B15" s="20" t="s">
        <v>101</v>
      </c>
      <c r="C15" s="21" t="n">
        <f aca="false">02_Actuals!B9+02_Actuals!B10+02_Actuals!B11+02_Actuals!B12</f>
        <v>474200</v>
      </c>
    </row>
    <row r="16" customFormat="false" ht="15" hidden="false" customHeight="false" outlineLevel="0" collapsed="false">
      <c r="B16" s="7" t="s">
        <v>102</v>
      </c>
      <c r="C16" s="19" t="n">
        <f aca="false">C6+C7+C8+C9+C10+C11+C12+C13+C14</f>
        <v>474200</v>
      </c>
    </row>
    <row r="17" customFormat="false" ht="15" hidden="false" customHeight="false" outlineLevel="0" collapsed="false">
      <c r="B17" s="7" t="s">
        <v>103</v>
      </c>
      <c r="C17" s="19" t="n">
        <f aca="false">C15-C16</f>
        <v>0</v>
      </c>
    </row>
    <row r="19" customFormat="false" ht="16.15" hidden="false" customHeight="false" outlineLevel="0" collapsed="false">
      <c r="B19" s="12" t="s">
        <v>104</v>
      </c>
    </row>
    <row r="20" customFormat="false" ht="60" hidden="false" customHeight="true" outlineLevel="0" collapsed="false">
      <c r="B20" s="4" t="s">
        <v>105</v>
      </c>
      <c r="C20" s="4"/>
      <c r="D20" s="4"/>
      <c r="E20" s="4"/>
      <c r="F20" s="4"/>
    </row>
    <row r="21" customFormat="false" ht="15" hidden="false" customHeight="false" outlineLevel="0" collapsed="false">
      <c r="B21" s="4"/>
      <c r="C21" s="4"/>
      <c r="D21" s="4"/>
      <c r="E21" s="4"/>
      <c r="F21" s="4"/>
    </row>
    <row r="22" customFormat="false" ht="15" hidden="false" customHeight="false" outlineLevel="0" collapsed="false">
      <c r="B22" s="4"/>
      <c r="C22" s="4"/>
      <c r="D22" s="4"/>
      <c r="E22" s="4"/>
      <c r="F22" s="4"/>
    </row>
    <row r="23" customFormat="false" ht="15" hidden="false" customHeight="false" outlineLevel="0" collapsed="false">
      <c r="B23" s="4"/>
      <c r="C23" s="4"/>
      <c r="D23" s="4"/>
      <c r="E23" s="4"/>
      <c r="F23" s="4"/>
    </row>
  </sheetData>
  <mergeCells count="1">
    <mergeCell ref="B20:F23"/>
  </mergeCells>
  <printOptions headings="false" gridLines="false" gridLinesSet="true" horizontalCentered="false" verticalCentered="false"/>
  <pageMargins left="0.75" right="0.75" top="1" bottom="1" header="0.511811023622047" footer="0.511811023622047"/>
  <pageSetup paperSize="3"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8"/>
  </cols>
  <sheetData>
    <row r="1" customFormat="false" ht="22.05" hidden="false" customHeight="false" outlineLevel="0" collapsed="false">
      <c r="A1" s="1" t="s">
        <v>106</v>
      </c>
    </row>
    <row r="3" customFormat="false" ht="15" hidden="false" customHeight="false" outlineLevel="0" collapsed="false">
      <c r="A3" s="6" t="s">
        <v>107</v>
      </c>
      <c r="B3" s="6" t="s">
        <v>108</v>
      </c>
    </row>
    <row r="4" customFormat="false" ht="15" hidden="false" customHeight="false" outlineLevel="0" collapsed="false">
      <c r="A4" s="7" t="s">
        <v>109</v>
      </c>
      <c r="B4" s="23" t="s">
        <v>110</v>
      </c>
    </row>
    <row r="5" customFormat="false" ht="15" hidden="false" customHeight="false" outlineLevel="0" collapsed="false">
      <c r="A5" s="7" t="s">
        <v>111</v>
      </c>
      <c r="B5" s="23" t="s">
        <v>112</v>
      </c>
    </row>
    <row r="6" customFormat="false" ht="15" hidden="false" customHeight="false" outlineLevel="0" collapsed="false">
      <c r="A6" s="7" t="s">
        <v>113</v>
      </c>
      <c r="B6" s="23" t="s">
        <v>114</v>
      </c>
    </row>
    <row r="7" customFormat="false" ht="15" hidden="false" customHeight="false" outlineLevel="0" collapsed="false">
      <c r="A7" s="7" t="s">
        <v>115</v>
      </c>
      <c r="B7" s="23" t="s">
        <v>116</v>
      </c>
    </row>
    <row r="8" customFormat="false" ht="15" hidden="false" customHeight="false" outlineLevel="0" collapsed="false">
      <c r="A8" s="7" t="s">
        <v>77</v>
      </c>
      <c r="B8" s="23" t="s">
        <v>117</v>
      </c>
    </row>
    <row r="9" customFormat="false" ht="15" hidden="false" customHeight="false" outlineLevel="0" collapsed="false">
      <c r="A9" s="7" t="s">
        <v>118</v>
      </c>
      <c r="B9" s="23" t="s">
        <v>119</v>
      </c>
    </row>
  </sheetData>
  <printOptions headings="false" gridLines="false" gridLinesSet="true" horizontalCentered="false" verticalCentered="false"/>
  <pageMargins left="0.75" right="0.75" top="1" bottom="1" header="0.511811023622047" footer="0.511811023622047"/>
  <pageSetup paperSize="3"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2026-08-27T13:39:05Z</dcterms:created>
  <dc:creator>openpyxl</dc:creator>
  <dc:description/>
  <dc:language>en-US</dc:language>
  <cp:lastModifiedBy/>
  <dcterms:modified xsi:type="dcterms:W3CDTF">2026-08-27T13:39:09Z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